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FBE192E1-450F-4113-8CA2-9B910FE7D77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roduct Backlog" sheetId="1" r:id="rId1"/>
    <sheet name="Sprint Backlog" sheetId="2" r:id="rId2"/>
    <sheet name="Resumen Sprints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C11" i="3"/>
  <c r="F34" i="1"/>
</calcChain>
</file>

<file path=xl/sharedStrings.xml><?xml version="1.0" encoding="utf-8"?>
<sst xmlns="http://schemas.openxmlformats.org/spreadsheetml/2006/main" count="556" uniqueCount="189">
  <si>
    <t>PRODUCT BACKLOG — Sistema de Gestión de Bar | Nexus Software Factory</t>
  </si>
  <si>
    <t>El Último Revolcón · Proyecto: Bar Management System · Inicio: 02/02/2026 · Fin estimado: 12/05/2026</t>
  </si>
  <si>
    <t>ID</t>
  </si>
  <si>
    <t>Historia de Usuario</t>
  </si>
  <si>
    <t>Módulo</t>
  </si>
  <si>
    <t>Rol</t>
  </si>
  <si>
    <t>Prioridad</t>
  </si>
  <si>
    <t>Estimación (h)</t>
  </si>
  <si>
    <t>Sprint Asignado</t>
  </si>
  <si>
    <t>Estado</t>
  </si>
  <si>
    <t>Criterios de Aceptación</t>
  </si>
  <si>
    <t>Responsable</t>
  </si>
  <si>
    <t>Notas</t>
  </si>
  <si>
    <t>HU-001</t>
  </si>
  <si>
    <t>Como equipo técnico, quiero configurar la estructura de carpetas en OneDrive, inicializar los proyectos Angular y Spring Boot, y crear el esquema inicial de la BD MySQL.</t>
  </si>
  <si>
    <t>Infraestructura</t>
  </si>
  <si>
    <t>Dev Team</t>
  </si>
  <si>
    <t>Alta</t>
  </si>
  <si>
    <t>Sprint 0</t>
  </si>
  <si>
    <t>Completado</t>
  </si>
  <si>
    <t>Carpetas del proyecto organizadas en OneDrive (Inicio, Planeación, Ejecución, Monitoreo, Cierre); proyectos Angular y Spring Boot inicializados; esquema inicial de BD MySQL creado.</t>
  </si>
  <si>
    <t>DevOps / DB Admin</t>
  </si>
  <si>
    <t>HU-002</t>
  </si>
  <si>
    <t>Como Tech Lead, quiero definir y documentar el stack tecnológico (Angular + Spring Boot + MySQL) y los estándares de código del proyecto.</t>
  </si>
  <si>
    <t>Tech Lead</t>
  </si>
  <si>
    <t>Documento de arquitectura aprobado y subido a OneDrive; estándares de código para Angular (TypeScript) y Spring Boot (Java) definidos y documentados.</t>
  </si>
  <si>
    <t>HU-003</t>
  </si>
  <si>
    <t>Como usuario registrado, quiero iniciar sesión con usuario y contraseña para acceder al sistema según mi rol.</t>
  </si>
  <si>
    <t>Autenticación</t>
  </si>
  <si>
    <t>Todos</t>
  </si>
  <si>
    <t>Sprint 1</t>
  </si>
  <si>
    <t>Login valida credenciales; redirige por rol; sesión cierra tras 5 min de inactividad.</t>
  </si>
  <si>
    <t>Backend Dev</t>
  </si>
  <si>
    <t>HU-004</t>
  </si>
  <si>
    <t>Como administrador global, quiero elegir la sede al momento de iniciar sesión para gestionar cualquier sucursal.</t>
  </si>
  <si>
    <t>Administrador</t>
  </si>
  <si>
    <t>Pantalla de selección de sede aparece post-login para admin; otros roles van directo a su sede.</t>
  </si>
  <si>
    <t>HU-005</t>
  </si>
  <si>
    <t>Como administrador, quiero crear usuarios nuevos con rol (Mesero/Cajero) y sede asignada.</t>
  </si>
  <si>
    <t>Gestión Usuarios</t>
  </si>
  <si>
    <t>Formulario con campos obligatorios; rol y sede son requeridos; usuario queda activo.</t>
  </si>
  <si>
    <t>HU-006</t>
  </si>
  <si>
    <t>Como administrador, quiero editar los datos de un usuario existente (nombre, contraseña, sede).</t>
  </si>
  <si>
    <t>Cambios se guardan correctamente; contraseña cifrada en BD; registro en auditoría.</t>
  </si>
  <si>
    <t>HU-007</t>
  </si>
  <si>
    <t>Como administrador, quiero desactivar un usuario para revocar su acceso sin eliminarlo del sistema.</t>
  </si>
  <si>
    <t>Media</t>
  </si>
  <si>
    <t>Usuario desactivado no puede iniciar sesión; sigue visible en historial; acción auditada.</t>
  </si>
  <si>
    <t>HU-008</t>
  </si>
  <si>
    <t>Como administrador, quiero ver el listado completo de usuarios con su estado, rol y sede asignada.</t>
  </si>
  <si>
    <t>Lista con filtros por rol, sede y estado; paginada si supera 20 registros.</t>
  </si>
  <si>
    <t>Frontend Dev</t>
  </si>
  <si>
    <t>HU-009</t>
  </si>
  <si>
    <t>Como administrador, quiero crear y gestionar la maestra global de productos con nombre, precio y categoría.</t>
  </si>
  <si>
    <t>Inventario</t>
  </si>
  <si>
    <t>Sprint 2</t>
  </si>
  <si>
    <t>en  progreso</t>
  </si>
  <si>
    <t>CRUD completo; productos visibles en todas las sedes; categorías configurables.</t>
  </si>
  <si>
    <t>HU-010</t>
  </si>
  <si>
    <t>Como administrador, quiero configurar el stock inicial de cada producto por sede.</t>
  </si>
  <si>
    <t>Pendiente</t>
  </si>
  <si>
    <t>Stock se configura por sede individualmente; valores en unidades enteras.</t>
  </si>
  <si>
    <t>HU-011</t>
  </si>
  <si>
    <t>Como administrador, quiero consultar el inventario actual de cualquier sede en tiempo real.</t>
  </si>
  <si>
    <t>Vista con stock actual por producto y sede; alerta visual si stock &lt; umbral mínimo.</t>
  </si>
  <si>
    <t>HU-012</t>
  </si>
  <si>
    <t>Como cajero, quiero que el inventario se actualice automáticamente al cerrar una venta.</t>
  </si>
  <si>
    <t>Cajero</t>
  </si>
  <si>
    <t>Cada producto vendido descuenta unidades del inventario de la sede; sin intervención manual.</t>
  </si>
  <si>
    <t>HU-013</t>
  </si>
  <si>
    <t>Como administrador, quiero ajustar manualmente el stock de un producto en una sede específica.</t>
  </si>
  <si>
    <t>Ajuste queda registrado en auditoría con motivo, usuario y timestamp.</t>
  </si>
  <si>
    <t>HU-014</t>
  </si>
  <si>
    <t>Como mesero, quiero ver el menú de productos disponibles para tomar el pedido de una mesa.</t>
  </si>
  <si>
    <t>Pedidos</t>
  </si>
  <si>
    <t>Mesero</t>
  </si>
  <si>
    <t>Sprint 3</t>
  </si>
  <si>
    <t>Menú muestra productos activos con nombre y precio; categorías agrupadas.</t>
  </si>
  <si>
    <t>HU-015</t>
  </si>
  <si>
    <t>Como mesero, quiero agregar productos a un pedido activo y especificar cantidades.</t>
  </si>
  <si>
    <t>Se pueden agregar/quitar ítems; subtotal se actualiza en tiempo real.</t>
  </si>
  <si>
    <t>HU-016</t>
  </si>
  <si>
    <t>Como mesero, quiero enviar el pedido confirmado para que quede registrado en el sistema.</t>
  </si>
  <si>
    <t>Pedido queda en estado 'Abierto'; visible para el cajero; no modifiable una vez enviado.</t>
  </si>
  <si>
    <t>HU-017</t>
  </si>
  <si>
    <t>Como mesero, quiero consultar el estado de mis pedidos activos en cualquier momento.</t>
  </si>
  <si>
    <t>Lista de pedidos propios con estado (Abierto/Cerrado); filtro por mesa.</t>
  </si>
  <si>
    <t>HU-018</t>
  </si>
  <si>
    <t>Como cajero, quiero ver todos los pedidos abiertos de mi sede para procesarlos.</t>
  </si>
  <si>
    <t>Ventas</t>
  </si>
  <si>
    <t>Vista con pedidos ordenados por hora; detalle de ítems y monto total.</t>
  </si>
  <si>
    <t>HU-019</t>
  </si>
  <si>
    <t>Como cajero, quiero cerrar una venta registrando el pago del cliente.</t>
  </si>
  <si>
    <t>Pedido pasa a estado 'Cerrado'; inventario se descuenta; registro en tabla de ventas.</t>
  </si>
  <si>
    <t>HU-020</t>
  </si>
  <si>
    <t>Como cajero, quiero ver el resumen de caja del turno actual con total de ventas.</t>
  </si>
  <si>
    <t>Total de ventas del turno; número de transacciones; subtotales por categoría.</t>
  </si>
  <si>
    <t>HU-021</t>
  </si>
  <si>
    <t>Como administrador, quiero exportar un reporte de ventas en CSV filtrado por sede y rango de fechas.</t>
  </si>
  <si>
    <t>Reportes</t>
  </si>
  <si>
    <t>Sprint 4</t>
  </si>
  <si>
    <t>CSV con columnas: fecha, sede, producto, cantidad, precio, total; descarga inmediata.</t>
  </si>
  <si>
    <t>HU-022</t>
  </si>
  <si>
    <t>Como administrador, quiero ver un dashboard con indicadores clave de ventas por sede.</t>
  </si>
  <si>
    <t>Gráfico de ventas por sede; producto más vendido; comparativo semana actual vs anterior.</t>
  </si>
  <si>
    <t>HU-023</t>
  </si>
  <si>
    <t>Como sistema, quiero registrar en una tabla de auditoría todas las acciones realizadas por usuarios.</t>
  </si>
  <si>
    <t>Seguridad</t>
  </si>
  <si>
    <t>Sistema</t>
  </si>
  <si>
    <t>Cada acción crítica (login, CRUD, cierre venta) genera registro con user, IP, acción, timestamp.</t>
  </si>
  <si>
    <t>HU-024</t>
  </si>
  <si>
    <t>Como administrador, quiero consultar el log de auditoría filtrando por usuario, fecha o tipo de acción.</t>
  </si>
  <si>
    <t>Vista de auditoría con filtros; solo lectura; exportable en CSV.</t>
  </si>
  <si>
    <t>HU-025</t>
  </si>
  <si>
    <t>Como sistema, quiero encriptar las contraseñas de usuarios y los datos sensibles en tránsito.</t>
  </si>
  <si>
    <t>Contraseñas con hash bcrypt; comunicación sobre HTTPS; tokens JWT con expiración.</t>
  </si>
  <si>
    <t>HU-026</t>
  </si>
  <si>
    <t>Como QA, quiero ejecutar pruebas de integración para validar los flujos completos de pedido y venta.</t>
  </si>
  <si>
    <t>QA</t>
  </si>
  <si>
    <t>QA Engineer</t>
  </si>
  <si>
    <t>Sprint 5</t>
  </si>
  <si>
    <t>Flujo Mesero→Cajero→Inventario probado end-to-end; 0 bugs críticos pendientes.</t>
  </si>
  <si>
    <t>HU-027</t>
  </si>
  <si>
    <t>Como QA, quiero validar que el sistema soporte 15 meseros, 1 cajero y 1 admin simultáneos por sede.</t>
  </si>
  <si>
    <t>Prueba de carga con usuarios concurrentes; tiempo de respuesta &lt; 1 seg bajo carga normal.</t>
  </si>
  <si>
    <t>HU-028</t>
  </si>
  <si>
    <t>Como QA, quiero ejecutar pruebas de regresión sobre todos los módulos entregados.</t>
  </si>
  <si>
    <t>Suite de regresión ejecutada; defectos reportados y corregidos antes de Sprint 6.</t>
  </si>
  <si>
    <t>HU-029</t>
  </si>
  <si>
    <t>Como equipo, quiero desplegar el sistema en el ambiente de producción del cliente.</t>
  </si>
  <si>
    <t>Despliegue</t>
  </si>
  <si>
    <t>DevOps</t>
  </si>
  <si>
    <t>Sprint 6</t>
  </si>
  <si>
    <t>Sistema accesible en URL de producción; credenciales iniciales entregadas; BD respaldada.</t>
  </si>
  <si>
    <t>HU-030</t>
  </si>
  <si>
    <t>Como cliente, quiero recibir el manual de usuario y la capacitación básica del sistema.</t>
  </si>
  <si>
    <t>Entrega</t>
  </si>
  <si>
    <t>Manual de usuario entregado; sesión de capacitación de 2h realizada; acta de cierre firmada.</t>
  </si>
  <si>
    <t>Analista Funcional</t>
  </si>
  <si>
    <t>TOTAL HORAS ESTIMADAS</t>
  </si>
  <si>
    <t>SPRINT BACKLOG — Sistema de Gestión de Bar</t>
  </si>
  <si>
    <t>Duración por sprint: 2 semanas · Sprints: 0 al 6 · Inicio: 02/02/2026 · Fin: 12/05/2026 · Días festivos incluidos</t>
  </si>
  <si>
    <t>Sprint</t>
  </si>
  <si>
    <t>Período</t>
  </si>
  <si>
    <t>ID HU</t>
  </si>
  <si>
    <t>Est. (h)</t>
  </si>
  <si>
    <t>Entregable</t>
  </si>
  <si>
    <t xml:space="preserve">  Sprint 0  ·  02/02 – 13/02/2026  ·  Entregable: Arquitectura, carpetas OneDrive y stack tecnológico (Angular + Spring Boot + MySQL) definidos</t>
  </si>
  <si>
    <t>02/02 – 13/02/2026</t>
  </si>
  <si>
    <t>Carpetas OneDrive organizadas; proyectos Angular y Spring Boot inicializados; esquema inicial de BD MySQL creado.</t>
  </si>
  <si>
    <t>Documento de arquitectura aprobado y subido a OneDrive; estándares de código para Angular y Spring Boot definidos y documentados.</t>
  </si>
  <si>
    <t xml:space="preserve">  Sprint 1  ·  16/02 – 27/02/2026  ·  Entregable: Módulo de autenticación y gestión de usuarios 100% funcional</t>
  </si>
  <si>
    <t>16/02 – 27/02/2026</t>
  </si>
  <si>
    <t>En progreso</t>
  </si>
  <si>
    <t>Módulo de autenticación y gestión de usuarios 100% funcional</t>
  </si>
  <si>
    <t xml:space="preserve">  Sprint 2  ·  02/03 – 13/03/2026  ·  Entregable: Módulo de inventario (maestra global + stock por sede) funcional</t>
  </si>
  <si>
    <t>02/03 – 13/03/2026</t>
  </si>
  <si>
    <t>Módulo de inventario (maestra global + stock por sede) funcional</t>
  </si>
  <si>
    <t xml:space="preserve">  Sprint 3  ·  16/03 – 27/03/2026  ·  Entregable: Módulo de pedidos (Mesero) y cierre de ventas (Cajero) funcional</t>
  </si>
  <si>
    <t>16/03 – 27/03/2026</t>
  </si>
  <si>
    <t>Módulo de pedidos (Mesero) y cierre de ventas (Cajero) funcional</t>
  </si>
  <si>
    <t xml:space="preserve">  Sprint 4  ·  30/03 – 10/04/2026  ·  Entregable: Reportes CSV, auditoría y seguridad avanzada implementados</t>
  </si>
  <si>
    <t>30/03 – 10/04/2026</t>
  </si>
  <si>
    <t>Reportes CSV, auditoría y seguridad avanzada implementados</t>
  </si>
  <si>
    <t xml:space="preserve">  Sprint 5  ·  13/04 – 24/04/2026  ·  Entregable: Pruebas integrales, regresión y corrección de defectos completados</t>
  </si>
  <si>
    <t>13/04 – 24/04/2026</t>
  </si>
  <si>
    <t>Pruebas integrales, regresión y corrección de defectos completados</t>
  </si>
  <si>
    <t xml:space="preserve">  Sprint 6  ·  27/04 – 12/05/2026  ·  Entregable: Despliegue en producción, manual de usuario y acta de cierre</t>
  </si>
  <si>
    <t>27/04 – 12/05/2026</t>
  </si>
  <si>
    <t>Despliegue en producción, manual de usuario y acta de cierre</t>
  </si>
  <si>
    <t>RESUMEN EJECUTIVO POR SPRINT</t>
  </si>
  <si>
    <t>Sistema de Gestión de Bar · Nexus Software Factory · Proyecto El Último Revolcón</t>
  </si>
  <si>
    <t># HU</t>
  </si>
  <si>
    <t>Horas Est.</t>
  </si>
  <si>
    <t>Módulos</t>
  </si>
  <si>
    <t>Infraestructura OneDrive, Arquitectura</t>
  </si>
  <si>
    <t>Carpetas OneDrive configuradas, proyectos Angular/Spring Boot inicializados, BD MySQL esquema creado, stack definido</t>
  </si>
  <si>
    <t>Autenticación, Gestión de Usuarios</t>
  </si>
  <si>
    <t>Login por rol, CRUD usuarios, selección de sede (Admin)</t>
  </si>
  <si>
    <t>Maestra productos global, stock por sede, ajustes manuales</t>
  </si>
  <si>
    <t>Pedidos, Ventas</t>
  </si>
  <si>
    <t>Toma de pedidos, cierre de venta, resumen de caja</t>
  </si>
  <si>
    <t>Reportes, Seguridad, Auditoría</t>
  </si>
  <si>
    <t>Exportación CSV, dashboard, log de auditoría, encriptación</t>
  </si>
  <si>
    <t>QA — Pruebas integrales</t>
  </si>
  <si>
    <t>Pruebas E2E, carga, regresión y corrección de defectos</t>
  </si>
  <si>
    <t>Despliegue, Entrega</t>
  </si>
  <si>
    <t>Deploy producción, manual usuario, capacitación, acta cierre</t>
  </si>
  <si>
    <t>TOTALES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</si>
</sst>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AAAAA"/>
      <name val="Arial"/>
      <charset val="1"/>
    </font>
    <font>
      <b/>
      <sz val="10"/>
      <color rgb="FFFFFFFF"/>
      <name val="Arial"/>
      <charset val="1"/>
    </font>
    <font>
      <b/>
      <sz val="10"/>
      <color rgb="FF1B4F8A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C9A84C"/>
      <name val="Arial"/>
      <charset val="1"/>
    </font>
    <font>
      <sz val="11"/>
      <color rgb="FF00000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4F8A"/>
        <bgColor rgb="FF003366"/>
      </patternFill>
    </fill>
    <fill>
      <patternFill patternType="solid">
        <fgColor rgb="FFEBF5FB"/>
        <bgColor rgb="FFE3F2FD"/>
      </patternFill>
    </fill>
    <fill>
      <patternFill patternType="solid">
        <fgColor rgb="FFFFFFFF"/>
        <bgColor rgb="FFFFFDE7"/>
      </patternFill>
    </fill>
    <fill>
      <patternFill patternType="solid">
        <fgColor rgb="FFFFEBEE"/>
        <bgColor rgb="FFFCE4EC"/>
      </patternFill>
    </fill>
    <fill>
      <patternFill patternType="solid">
        <fgColor rgb="FFC8E6C9"/>
        <bgColor rgb="FFE8F5E9"/>
      </patternFill>
    </fill>
    <fill>
      <patternFill patternType="solid">
        <fgColor rgb="FFFFFDE7"/>
        <bgColor rgb="FFFFF3E0"/>
      </patternFill>
    </fill>
    <fill>
      <patternFill patternType="solid">
        <fgColor rgb="FF2E86C1"/>
        <bgColor rgb="FF008080"/>
      </patternFill>
    </fill>
    <fill>
      <patternFill patternType="solid">
        <fgColor rgb="FFE3F2FD"/>
        <bgColor rgb="FFE0F7FA"/>
      </patternFill>
    </fill>
    <fill>
      <patternFill patternType="solid">
        <fgColor rgb="FFE8F5E9"/>
        <bgColor rgb="FFEBF5FB"/>
      </patternFill>
    </fill>
    <fill>
      <patternFill patternType="solid">
        <fgColor rgb="FFFFF9C4"/>
        <bgColor rgb="FFFFF3E0"/>
      </patternFill>
    </fill>
    <fill>
      <patternFill patternType="solid">
        <fgColor rgb="FFFCE4EC"/>
        <bgColor rgb="FFFFEBEE"/>
      </patternFill>
    </fill>
    <fill>
      <patternFill patternType="solid">
        <fgColor rgb="FFEDE7F6"/>
        <bgColor rgb="FFFCE4EC"/>
      </patternFill>
    </fill>
    <fill>
      <patternFill patternType="solid">
        <fgColor rgb="FFFFF3E0"/>
        <bgColor rgb="FFFFEBEE"/>
      </patternFill>
    </fill>
    <fill>
      <patternFill patternType="solid">
        <fgColor rgb="FFE0F7FA"/>
        <bgColor rgb="FFE3F2FD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left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9C4"/>
      <rgbColor rgb="FFE0F7FA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C8E6C9"/>
      <rgbColor rgb="FFFFF3E0"/>
      <rgbColor rgb="FFE8F5E9"/>
      <rgbColor rgb="FFFFEBEE"/>
      <rgbColor rgb="FFEBF5FB"/>
      <rgbColor rgb="FFFCE4EC"/>
      <rgbColor rgb="FF2E86C1"/>
      <rgbColor rgb="FF33CCCC"/>
      <rgbColor rgb="FF99CC00"/>
      <rgbColor rgb="FFFFCC00"/>
      <rgbColor rgb="FFC9A84C"/>
      <rgbColor rgb="FFFF6600"/>
      <rgbColor rgb="FF666699"/>
      <rgbColor rgb="FFAAAAAA"/>
      <rgbColor rgb="FF003366"/>
      <rgbColor rgb="FF339966"/>
      <rgbColor rgb="FF0D1B2A"/>
      <rgbColor rgb="FF333300"/>
      <rgbColor rgb="FF993300"/>
      <rgbColor rgb="FF993366"/>
      <rgbColor rgb="FF1B4F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showGridLines="0" tabSelected="1" zoomScaleNormal="100" workbookViewId="0">
      <pane ySplit="3" topLeftCell="A7" activePane="bottomLeft" state="frozen"/>
      <selection pane="bottomLeft" activeCell="I13" sqref="I13"/>
    </sheetView>
  </sheetViews>
  <sheetFormatPr defaultColWidth="8.7109375" defaultRowHeight="15"/>
  <cols>
    <col min="1" max="1" width="8" customWidth="1"/>
    <col min="2" max="2" width="52" customWidth="1"/>
    <col min="3" max="3" width="22" customWidth="1"/>
    <col min="4" max="4" width="16" customWidth="1"/>
    <col min="5" max="5" width="12" customWidth="1"/>
    <col min="6" max="6" width="14" customWidth="1"/>
    <col min="7" max="7" width="16" customWidth="1"/>
    <col min="8" max="8" width="14" customWidth="1"/>
    <col min="9" max="9" width="55" customWidth="1"/>
    <col min="10" max="10" width="20" customWidth="1"/>
    <col min="11" max="11" width="28" customWidth="1"/>
  </cols>
  <sheetData>
    <row r="1" spans="1:11" ht="31.5" customHeight="1">
      <c r="A1" s="62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ht="19.5" customHeight="1">
      <c r="A2" s="60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ht="27.7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42" customHeight="1">
      <c r="A4" s="2" t="s">
        <v>13</v>
      </c>
      <c r="B4" s="3" t="s">
        <v>14</v>
      </c>
      <c r="C4" s="4" t="s">
        <v>15</v>
      </c>
      <c r="D4" s="4" t="s">
        <v>16</v>
      </c>
      <c r="E4" s="5" t="s">
        <v>17</v>
      </c>
      <c r="F4" s="6">
        <v>16</v>
      </c>
      <c r="G4" s="7" t="s">
        <v>18</v>
      </c>
      <c r="H4" s="8" t="s">
        <v>19</v>
      </c>
      <c r="I4" s="3" t="s">
        <v>20</v>
      </c>
      <c r="J4" s="4" t="s">
        <v>21</v>
      </c>
      <c r="K4" s="3"/>
    </row>
    <row r="5" spans="1:11" ht="42" customHeight="1">
      <c r="A5" s="2" t="s">
        <v>22</v>
      </c>
      <c r="B5" s="3" t="s">
        <v>23</v>
      </c>
      <c r="C5" s="4" t="s">
        <v>15</v>
      </c>
      <c r="D5" s="4" t="s">
        <v>24</v>
      </c>
      <c r="E5" s="5" t="s">
        <v>17</v>
      </c>
      <c r="F5" s="6">
        <v>8</v>
      </c>
      <c r="G5" s="7" t="s">
        <v>18</v>
      </c>
      <c r="H5" s="8" t="s">
        <v>19</v>
      </c>
      <c r="I5" s="3" t="s">
        <v>25</v>
      </c>
      <c r="J5" s="4" t="s">
        <v>24</v>
      </c>
      <c r="K5" s="3"/>
    </row>
    <row r="6" spans="1:11" ht="42" customHeight="1">
      <c r="A6" s="2" t="s">
        <v>26</v>
      </c>
      <c r="B6" s="3" t="s">
        <v>27</v>
      </c>
      <c r="C6" s="4" t="s">
        <v>28</v>
      </c>
      <c r="D6" s="4" t="s">
        <v>29</v>
      </c>
      <c r="E6" s="5" t="s">
        <v>17</v>
      </c>
      <c r="F6" s="6">
        <v>12</v>
      </c>
      <c r="G6" s="7" t="s">
        <v>30</v>
      </c>
      <c r="H6" s="9" t="s">
        <v>19</v>
      </c>
      <c r="I6" s="3" t="s">
        <v>31</v>
      </c>
      <c r="J6" s="4" t="s">
        <v>32</v>
      </c>
      <c r="K6" s="3"/>
    </row>
    <row r="7" spans="1:11" ht="42" customHeight="1">
      <c r="A7" s="2" t="s">
        <v>33</v>
      </c>
      <c r="B7" s="3" t="s">
        <v>34</v>
      </c>
      <c r="C7" s="4" t="s">
        <v>28</v>
      </c>
      <c r="D7" s="4" t="s">
        <v>35</v>
      </c>
      <c r="E7" s="5" t="s">
        <v>17</v>
      </c>
      <c r="F7" s="6">
        <v>8</v>
      </c>
      <c r="G7" s="7" t="s">
        <v>30</v>
      </c>
      <c r="H7" s="10" t="s">
        <v>19</v>
      </c>
      <c r="I7" s="3" t="s">
        <v>36</v>
      </c>
      <c r="J7" s="4" t="s">
        <v>32</v>
      </c>
      <c r="K7" s="3"/>
    </row>
    <row r="8" spans="1:11" ht="42" customHeight="1">
      <c r="A8" s="2" t="s">
        <v>37</v>
      </c>
      <c r="B8" s="3" t="s">
        <v>38</v>
      </c>
      <c r="C8" s="4" t="s">
        <v>39</v>
      </c>
      <c r="D8" s="4" t="s">
        <v>35</v>
      </c>
      <c r="E8" s="5" t="s">
        <v>17</v>
      </c>
      <c r="F8" s="6">
        <v>10</v>
      </c>
      <c r="G8" s="7" t="s">
        <v>30</v>
      </c>
      <c r="H8" s="10" t="s">
        <v>19</v>
      </c>
      <c r="I8" s="3" t="s">
        <v>40</v>
      </c>
      <c r="J8" s="4" t="s">
        <v>32</v>
      </c>
      <c r="K8" s="3"/>
    </row>
    <row r="9" spans="1:11" ht="42" customHeight="1">
      <c r="A9" s="2" t="s">
        <v>41</v>
      </c>
      <c r="B9" s="3" t="s">
        <v>42</v>
      </c>
      <c r="C9" s="4" t="s">
        <v>39</v>
      </c>
      <c r="D9" s="4" t="s">
        <v>35</v>
      </c>
      <c r="E9" s="5" t="s">
        <v>17</v>
      </c>
      <c r="F9" s="6">
        <v>6</v>
      </c>
      <c r="G9" s="7" t="s">
        <v>30</v>
      </c>
      <c r="H9" s="10" t="s">
        <v>19</v>
      </c>
      <c r="I9" s="3" t="s">
        <v>43</v>
      </c>
      <c r="J9" s="4" t="s">
        <v>32</v>
      </c>
      <c r="K9" s="3"/>
    </row>
    <row r="10" spans="1:11" ht="42" customHeight="1">
      <c r="A10" s="2" t="s">
        <v>44</v>
      </c>
      <c r="B10" s="3" t="s">
        <v>45</v>
      </c>
      <c r="C10" s="4" t="s">
        <v>39</v>
      </c>
      <c r="D10" s="4" t="s">
        <v>35</v>
      </c>
      <c r="E10" s="9" t="s">
        <v>46</v>
      </c>
      <c r="F10" s="6">
        <v>4</v>
      </c>
      <c r="G10" s="7" t="s">
        <v>30</v>
      </c>
      <c r="H10" s="10" t="s">
        <v>19</v>
      </c>
      <c r="I10" s="3" t="s">
        <v>47</v>
      </c>
      <c r="J10" s="4" t="s">
        <v>32</v>
      </c>
      <c r="K10" s="3"/>
    </row>
    <row r="11" spans="1:11" ht="42" customHeight="1">
      <c r="A11" s="2" t="s">
        <v>48</v>
      </c>
      <c r="B11" s="3" t="s">
        <v>49</v>
      </c>
      <c r="C11" s="4" t="s">
        <v>39</v>
      </c>
      <c r="D11" s="4" t="s">
        <v>35</v>
      </c>
      <c r="E11" s="9" t="s">
        <v>46</v>
      </c>
      <c r="F11" s="6">
        <v>6</v>
      </c>
      <c r="G11" s="7" t="s">
        <v>30</v>
      </c>
      <c r="H11" s="10" t="s">
        <v>19</v>
      </c>
      <c r="I11" s="3" t="s">
        <v>50</v>
      </c>
      <c r="J11" s="4" t="s">
        <v>51</v>
      </c>
      <c r="K11" s="3"/>
    </row>
    <row r="12" spans="1:11" ht="42" customHeight="1">
      <c r="A12" s="2" t="s">
        <v>52</v>
      </c>
      <c r="B12" s="3" t="s">
        <v>53</v>
      </c>
      <c r="C12" s="4" t="s">
        <v>54</v>
      </c>
      <c r="D12" s="4" t="s">
        <v>35</v>
      </c>
      <c r="E12" s="5" t="s">
        <v>17</v>
      </c>
      <c r="F12" s="6">
        <v>12</v>
      </c>
      <c r="G12" s="7" t="s">
        <v>55</v>
      </c>
      <c r="H12" s="10" t="s">
        <v>56</v>
      </c>
      <c r="I12" s="3" t="s">
        <v>57</v>
      </c>
      <c r="J12" s="4" t="s">
        <v>32</v>
      </c>
      <c r="K12" s="3"/>
    </row>
    <row r="13" spans="1:11" ht="42" customHeight="1">
      <c r="A13" s="2" t="s">
        <v>58</v>
      </c>
      <c r="B13" s="3" t="s">
        <v>59</v>
      </c>
      <c r="C13" s="4" t="s">
        <v>54</v>
      </c>
      <c r="D13" s="4" t="s">
        <v>35</v>
      </c>
      <c r="E13" s="5" t="s">
        <v>17</v>
      </c>
      <c r="F13" s="6">
        <v>10</v>
      </c>
      <c r="G13" s="7" t="s">
        <v>55</v>
      </c>
      <c r="H13" s="10" t="s">
        <v>60</v>
      </c>
      <c r="I13" s="3" t="s">
        <v>61</v>
      </c>
      <c r="J13" s="4" t="s">
        <v>32</v>
      </c>
      <c r="K13" s="3"/>
    </row>
    <row r="14" spans="1:11" ht="42" customHeight="1">
      <c r="A14" s="2" t="s">
        <v>62</v>
      </c>
      <c r="B14" s="3" t="s">
        <v>63</v>
      </c>
      <c r="C14" s="4" t="s">
        <v>54</v>
      </c>
      <c r="D14" s="4" t="s">
        <v>35</v>
      </c>
      <c r="E14" s="5" t="s">
        <v>17</v>
      </c>
      <c r="F14" s="6">
        <v>8</v>
      </c>
      <c r="G14" s="7" t="s">
        <v>55</v>
      </c>
      <c r="H14" s="10" t="s">
        <v>60</v>
      </c>
      <c r="I14" s="3" t="s">
        <v>64</v>
      </c>
      <c r="J14" s="4" t="s">
        <v>51</v>
      </c>
      <c r="K14" s="3"/>
    </row>
    <row r="15" spans="1:11" ht="42" customHeight="1">
      <c r="A15" s="2" t="s">
        <v>65</v>
      </c>
      <c r="B15" s="3" t="s">
        <v>66</v>
      </c>
      <c r="C15" s="4" t="s">
        <v>54</v>
      </c>
      <c r="D15" s="4" t="s">
        <v>67</v>
      </c>
      <c r="E15" s="5" t="s">
        <v>17</v>
      </c>
      <c r="F15" s="6">
        <v>10</v>
      </c>
      <c r="G15" s="7" t="s">
        <v>55</v>
      </c>
      <c r="H15" s="10" t="s">
        <v>60</v>
      </c>
      <c r="I15" s="3" t="s">
        <v>68</v>
      </c>
      <c r="J15" s="4" t="s">
        <v>32</v>
      </c>
      <c r="K15" s="3"/>
    </row>
    <row r="16" spans="1:11" ht="42" customHeight="1">
      <c r="A16" s="2" t="s">
        <v>69</v>
      </c>
      <c r="B16" s="3" t="s">
        <v>70</v>
      </c>
      <c r="C16" s="4" t="s">
        <v>54</v>
      </c>
      <c r="D16" s="4" t="s">
        <v>35</v>
      </c>
      <c r="E16" s="9" t="s">
        <v>46</v>
      </c>
      <c r="F16" s="6">
        <v>6</v>
      </c>
      <c r="G16" s="7" t="s">
        <v>55</v>
      </c>
      <c r="H16" s="10" t="s">
        <v>60</v>
      </c>
      <c r="I16" s="3" t="s">
        <v>71</v>
      </c>
      <c r="J16" s="4" t="s">
        <v>32</v>
      </c>
      <c r="K16" s="3"/>
    </row>
    <row r="17" spans="1:11" ht="42" customHeight="1">
      <c r="A17" s="2" t="s">
        <v>72</v>
      </c>
      <c r="B17" s="3" t="s">
        <v>73</v>
      </c>
      <c r="C17" s="4" t="s">
        <v>74</v>
      </c>
      <c r="D17" s="4" t="s">
        <v>75</v>
      </c>
      <c r="E17" s="5" t="s">
        <v>17</v>
      </c>
      <c r="F17" s="6">
        <v>8</v>
      </c>
      <c r="G17" s="7" t="s">
        <v>76</v>
      </c>
      <c r="H17" s="10" t="s">
        <v>60</v>
      </c>
      <c r="I17" s="3" t="s">
        <v>77</v>
      </c>
      <c r="J17" s="4" t="s">
        <v>51</v>
      </c>
      <c r="K17" s="3"/>
    </row>
    <row r="18" spans="1:11" ht="42" customHeight="1">
      <c r="A18" s="2" t="s">
        <v>78</v>
      </c>
      <c r="B18" s="3" t="s">
        <v>79</v>
      </c>
      <c r="C18" s="4" t="s">
        <v>74</v>
      </c>
      <c r="D18" s="4" t="s">
        <v>75</v>
      </c>
      <c r="E18" s="5" t="s">
        <v>17</v>
      </c>
      <c r="F18" s="6">
        <v>10</v>
      </c>
      <c r="G18" s="7" t="s">
        <v>76</v>
      </c>
      <c r="H18" s="10" t="s">
        <v>60</v>
      </c>
      <c r="I18" s="3" t="s">
        <v>80</v>
      </c>
      <c r="J18" s="4" t="s">
        <v>51</v>
      </c>
      <c r="K18" s="3"/>
    </row>
    <row r="19" spans="1:11" ht="42" customHeight="1">
      <c r="A19" s="2" t="s">
        <v>81</v>
      </c>
      <c r="B19" s="3" t="s">
        <v>82</v>
      </c>
      <c r="C19" s="4" t="s">
        <v>74</v>
      </c>
      <c r="D19" s="4" t="s">
        <v>75</v>
      </c>
      <c r="E19" s="5" t="s">
        <v>17</v>
      </c>
      <c r="F19" s="6">
        <v>8</v>
      </c>
      <c r="G19" s="7" t="s">
        <v>76</v>
      </c>
      <c r="H19" s="10" t="s">
        <v>60</v>
      </c>
      <c r="I19" s="3" t="s">
        <v>83</v>
      </c>
      <c r="J19" s="4" t="s">
        <v>32</v>
      </c>
      <c r="K19" s="3"/>
    </row>
    <row r="20" spans="1:11" ht="42" customHeight="1">
      <c r="A20" s="2" t="s">
        <v>84</v>
      </c>
      <c r="B20" s="3" t="s">
        <v>85</v>
      </c>
      <c r="C20" s="4" t="s">
        <v>74</v>
      </c>
      <c r="D20" s="4" t="s">
        <v>75</v>
      </c>
      <c r="E20" s="9" t="s">
        <v>46</v>
      </c>
      <c r="F20" s="6">
        <v>6</v>
      </c>
      <c r="G20" s="7" t="s">
        <v>76</v>
      </c>
      <c r="H20" s="10" t="s">
        <v>60</v>
      </c>
      <c r="I20" s="3" t="s">
        <v>86</v>
      </c>
      <c r="J20" s="4" t="s">
        <v>51</v>
      </c>
      <c r="K20" s="3"/>
    </row>
    <row r="21" spans="1:11" ht="42" customHeight="1">
      <c r="A21" s="2" t="s">
        <v>87</v>
      </c>
      <c r="B21" s="3" t="s">
        <v>88</v>
      </c>
      <c r="C21" s="4" t="s">
        <v>89</v>
      </c>
      <c r="D21" s="4" t="s">
        <v>67</v>
      </c>
      <c r="E21" s="5" t="s">
        <v>17</v>
      </c>
      <c r="F21" s="6">
        <v>8</v>
      </c>
      <c r="G21" s="7" t="s">
        <v>76</v>
      </c>
      <c r="H21" s="10" t="s">
        <v>60</v>
      </c>
      <c r="I21" s="3" t="s">
        <v>90</v>
      </c>
      <c r="J21" s="4" t="s">
        <v>51</v>
      </c>
      <c r="K21" s="3"/>
    </row>
    <row r="22" spans="1:11" ht="42" customHeight="1">
      <c r="A22" s="2" t="s">
        <v>91</v>
      </c>
      <c r="B22" s="3" t="s">
        <v>92</v>
      </c>
      <c r="C22" s="4" t="s">
        <v>89</v>
      </c>
      <c r="D22" s="4" t="s">
        <v>67</v>
      </c>
      <c r="E22" s="5" t="s">
        <v>17</v>
      </c>
      <c r="F22" s="6">
        <v>12</v>
      </c>
      <c r="G22" s="7" t="s">
        <v>76</v>
      </c>
      <c r="H22" s="10" t="s">
        <v>60</v>
      </c>
      <c r="I22" s="3" t="s">
        <v>93</v>
      </c>
      <c r="J22" s="4" t="s">
        <v>32</v>
      </c>
      <c r="K22" s="3"/>
    </row>
    <row r="23" spans="1:11" ht="42" customHeight="1">
      <c r="A23" s="2" t="s">
        <v>94</v>
      </c>
      <c r="B23" s="3" t="s">
        <v>95</v>
      </c>
      <c r="C23" s="4" t="s">
        <v>89</v>
      </c>
      <c r="D23" s="4" t="s">
        <v>67</v>
      </c>
      <c r="E23" s="9" t="s">
        <v>46</v>
      </c>
      <c r="F23" s="6">
        <v>6</v>
      </c>
      <c r="G23" s="7" t="s">
        <v>76</v>
      </c>
      <c r="H23" s="10" t="s">
        <v>60</v>
      </c>
      <c r="I23" s="3" t="s">
        <v>96</v>
      </c>
      <c r="J23" s="4" t="s">
        <v>51</v>
      </c>
      <c r="K23" s="3"/>
    </row>
    <row r="24" spans="1:11" ht="42" customHeight="1">
      <c r="A24" s="2" t="s">
        <v>97</v>
      </c>
      <c r="B24" s="3" t="s">
        <v>98</v>
      </c>
      <c r="C24" s="4" t="s">
        <v>99</v>
      </c>
      <c r="D24" s="4" t="s">
        <v>35</v>
      </c>
      <c r="E24" s="5" t="s">
        <v>17</v>
      </c>
      <c r="F24" s="6">
        <v>12</v>
      </c>
      <c r="G24" s="7" t="s">
        <v>100</v>
      </c>
      <c r="H24" s="10" t="s">
        <v>60</v>
      </c>
      <c r="I24" s="3" t="s">
        <v>101</v>
      </c>
      <c r="J24" s="4" t="s">
        <v>32</v>
      </c>
      <c r="K24" s="3"/>
    </row>
    <row r="25" spans="1:11" ht="42" customHeight="1">
      <c r="A25" s="2" t="s">
        <v>102</v>
      </c>
      <c r="B25" s="3" t="s">
        <v>103</v>
      </c>
      <c r="C25" s="4" t="s">
        <v>99</v>
      </c>
      <c r="D25" s="4" t="s">
        <v>35</v>
      </c>
      <c r="E25" s="9" t="s">
        <v>46</v>
      </c>
      <c r="F25" s="6">
        <v>10</v>
      </c>
      <c r="G25" s="7" t="s">
        <v>100</v>
      </c>
      <c r="H25" s="10" t="s">
        <v>60</v>
      </c>
      <c r="I25" s="3" t="s">
        <v>104</v>
      </c>
      <c r="J25" s="4" t="s">
        <v>51</v>
      </c>
      <c r="K25" s="3"/>
    </row>
    <row r="26" spans="1:11" ht="42" customHeight="1">
      <c r="A26" s="2" t="s">
        <v>105</v>
      </c>
      <c r="B26" s="3" t="s">
        <v>106</v>
      </c>
      <c r="C26" s="4" t="s">
        <v>107</v>
      </c>
      <c r="D26" s="4" t="s">
        <v>108</v>
      </c>
      <c r="E26" s="5" t="s">
        <v>17</v>
      </c>
      <c r="F26" s="6">
        <v>10</v>
      </c>
      <c r="G26" s="7" t="s">
        <v>100</v>
      </c>
      <c r="H26" s="10" t="s">
        <v>60</v>
      </c>
      <c r="I26" s="3" t="s">
        <v>109</v>
      </c>
      <c r="J26" s="4" t="s">
        <v>32</v>
      </c>
      <c r="K26" s="3"/>
    </row>
    <row r="27" spans="1:11" ht="42" customHeight="1">
      <c r="A27" s="2" t="s">
        <v>110</v>
      </c>
      <c r="B27" s="3" t="s">
        <v>111</v>
      </c>
      <c r="C27" s="4" t="s">
        <v>107</v>
      </c>
      <c r="D27" s="4" t="s">
        <v>35</v>
      </c>
      <c r="E27" s="9" t="s">
        <v>46</v>
      </c>
      <c r="F27" s="6">
        <v>8</v>
      </c>
      <c r="G27" s="7" t="s">
        <v>100</v>
      </c>
      <c r="H27" s="10" t="s">
        <v>60</v>
      </c>
      <c r="I27" s="3" t="s">
        <v>112</v>
      </c>
      <c r="J27" s="4" t="s">
        <v>51</v>
      </c>
      <c r="K27" s="3"/>
    </row>
    <row r="28" spans="1:11" ht="42" customHeight="1">
      <c r="A28" s="2" t="s">
        <v>113</v>
      </c>
      <c r="B28" s="3" t="s">
        <v>114</v>
      </c>
      <c r="C28" s="4" t="s">
        <v>107</v>
      </c>
      <c r="D28" s="4" t="s">
        <v>108</v>
      </c>
      <c r="E28" s="5" t="s">
        <v>17</v>
      </c>
      <c r="F28" s="6">
        <v>8</v>
      </c>
      <c r="G28" s="7" t="s">
        <v>100</v>
      </c>
      <c r="H28" s="10" t="s">
        <v>60</v>
      </c>
      <c r="I28" s="3" t="s">
        <v>115</v>
      </c>
      <c r="J28" s="4" t="s">
        <v>32</v>
      </c>
      <c r="K28" s="3"/>
    </row>
    <row r="29" spans="1:11" ht="42" customHeight="1">
      <c r="A29" s="2" t="s">
        <v>116</v>
      </c>
      <c r="B29" s="3" t="s">
        <v>117</v>
      </c>
      <c r="C29" s="4" t="s">
        <v>118</v>
      </c>
      <c r="D29" s="4" t="s">
        <v>119</v>
      </c>
      <c r="E29" s="5" t="s">
        <v>17</v>
      </c>
      <c r="F29" s="6">
        <v>16</v>
      </c>
      <c r="G29" s="7" t="s">
        <v>120</v>
      </c>
      <c r="H29" s="10" t="s">
        <v>60</v>
      </c>
      <c r="I29" s="3" t="s">
        <v>121</v>
      </c>
      <c r="J29" s="4" t="s">
        <v>119</v>
      </c>
      <c r="K29" s="3"/>
    </row>
    <row r="30" spans="1:11" ht="42" customHeight="1">
      <c r="A30" s="2" t="s">
        <v>122</v>
      </c>
      <c r="B30" s="3" t="s">
        <v>123</v>
      </c>
      <c r="C30" s="4" t="s">
        <v>118</v>
      </c>
      <c r="D30" s="4" t="s">
        <v>119</v>
      </c>
      <c r="E30" s="5" t="s">
        <v>17</v>
      </c>
      <c r="F30" s="6">
        <v>12</v>
      </c>
      <c r="G30" s="7" t="s">
        <v>120</v>
      </c>
      <c r="H30" s="10" t="s">
        <v>60</v>
      </c>
      <c r="I30" s="3" t="s">
        <v>124</v>
      </c>
      <c r="J30" s="4" t="s">
        <v>119</v>
      </c>
      <c r="K30" s="3"/>
    </row>
    <row r="31" spans="1:11" ht="42" customHeight="1">
      <c r="A31" s="2" t="s">
        <v>125</v>
      </c>
      <c r="B31" s="3" t="s">
        <v>126</v>
      </c>
      <c r="C31" s="4" t="s">
        <v>118</v>
      </c>
      <c r="D31" s="4" t="s">
        <v>119</v>
      </c>
      <c r="E31" s="9" t="s">
        <v>46</v>
      </c>
      <c r="F31" s="6">
        <v>10</v>
      </c>
      <c r="G31" s="7" t="s">
        <v>120</v>
      </c>
      <c r="H31" s="10" t="s">
        <v>60</v>
      </c>
      <c r="I31" s="3" t="s">
        <v>127</v>
      </c>
      <c r="J31" s="4" t="s">
        <v>119</v>
      </c>
      <c r="K31" s="3"/>
    </row>
    <row r="32" spans="1:11" ht="42" customHeight="1">
      <c r="A32" s="2" t="s">
        <v>128</v>
      </c>
      <c r="B32" s="3" t="s">
        <v>129</v>
      </c>
      <c r="C32" s="4" t="s">
        <v>130</v>
      </c>
      <c r="D32" s="4" t="s">
        <v>131</v>
      </c>
      <c r="E32" s="5" t="s">
        <v>17</v>
      </c>
      <c r="F32" s="6">
        <v>12</v>
      </c>
      <c r="G32" s="7" t="s">
        <v>132</v>
      </c>
      <c r="H32" s="10" t="s">
        <v>60</v>
      </c>
      <c r="I32" s="3" t="s">
        <v>133</v>
      </c>
      <c r="J32" s="4" t="s">
        <v>21</v>
      </c>
      <c r="K32" s="3"/>
    </row>
    <row r="33" spans="1:11" ht="42" customHeight="1">
      <c r="A33" s="2" t="s">
        <v>134</v>
      </c>
      <c r="B33" s="3" t="s">
        <v>135</v>
      </c>
      <c r="C33" s="4" t="s">
        <v>136</v>
      </c>
      <c r="D33" s="4" t="s">
        <v>29</v>
      </c>
      <c r="E33" s="5" t="s">
        <v>17</v>
      </c>
      <c r="F33" s="6">
        <v>8</v>
      </c>
      <c r="G33" s="7" t="s">
        <v>132</v>
      </c>
      <c r="H33" s="10" t="s">
        <v>60</v>
      </c>
      <c r="I33" s="3" t="s">
        <v>137</v>
      </c>
      <c r="J33" s="4" t="s">
        <v>138</v>
      </c>
      <c r="K33" s="3"/>
    </row>
    <row r="34" spans="1:11" ht="27.75" customHeight="1">
      <c r="A34" s="61" t="s">
        <v>139</v>
      </c>
      <c r="B34" s="65"/>
      <c r="C34" s="65"/>
      <c r="D34" s="65"/>
      <c r="E34" s="65"/>
      <c r="F34" s="11">
        <f>SUM(F4:F33)</f>
        <v>280</v>
      </c>
    </row>
  </sheetData>
  <mergeCells count="3">
    <mergeCell ref="A2:K2"/>
    <mergeCell ref="A34:E34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2" width="22" customWidth="1"/>
    <col min="3" max="3" width="8" customWidth="1"/>
    <col min="4" max="4" width="50" customWidth="1"/>
    <col min="5" max="5" width="20" customWidth="1"/>
    <col min="6" max="6" width="10" customWidth="1"/>
    <col min="7" max="7" width="14" customWidth="1"/>
    <col min="8" max="8" width="40" customWidth="1"/>
  </cols>
  <sheetData>
    <row r="1" spans="1:8" ht="31.5" customHeight="1">
      <c r="A1" s="62" t="s">
        <v>140</v>
      </c>
      <c r="B1" s="65"/>
      <c r="C1" s="65"/>
      <c r="D1" s="65"/>
      <c r="E1" s="65"/>
      <c r="F1" s="65"/>
      <c r="G1" s="65"/>
      <c r="H1" s="65"/>
    </row>
    <row r="2" spans="1:8" ht="19.5" customHeight="1">
      <c r="A2" s="60" t="s">
        <v>141</v>
      </c>
      <c r="B2" s="65"/>
      <c r="C2" s="65"/>
      <c r="D2" s="65"/>
      <c r="E2" s="65"/>
      <c r="F2" s="65"/>
      <c r="G2" s="65"/>
      <c r="H2" s="65"/>
    </row>
    <row r="3" spans="1:8" ht="27.75" customHeight="1">
      <c r="A3" s="1" t="s">
        <v>142</v>
      </c>
      <c r="B3" s="1" t="s">
        <v>143</v>
      </c>
      <c r="C3" s="1" t="s">
        <v>144</v>
      </c>
      <c r="D3" s="1" t="s">
        <v>3</v>
      </c>
      <c r="E3" s="1" t="s">
        <v>11</v>
      </c>
      <c r="F3" s="1" t="s">
        <v>145</v>
      </c>
      <c r="G3" s="1" t="s">
        <v>9</v>
      </c>
      <c r="H3" s="1" t="s">
        <v>146</v>
      </c>
    </row>
    <row r="4" spans="1:8" ht="24" customHeight="1">
      <c r="A4" s="63" t="s">
        <v>147</v>
      </c>
      <c r="B4" s="65"/>
      <c r="C4" s="65"/>
      <c r="D4" s="65"/>
      <c r="E4" s="65"/>
      <c r="F4" s="65"/>
      <c r="G4" s="65"/>
      <c r="H4" s="65"/>
    </row>
    <row r="5" spans="1:8" ht="37.5" customHeight="1">
      <c r="A5" s="12" t="s">
        <v>18</v>
      </c>
      <c r="B5" s="12" t="s">
        <v>148</v>
      </c>
      <c r="C5" s="13" t="s">
        <v>13</v>
      </c>
      <c r="D5" s="14" t="s">
        <v>14</v>
      </c>
      <c r="E5" s="15" t="s">
        <v>21</v>
      </c>
      <c r="F5" s="12">
        <v>16</v>
      </c>
      <c r="G5" s="8" t="s">
        <v>19</v>
      </c>
      <c r="H5" s="14" t="s">
        <v>149</v>
      </c>
    </row>
    <row r="6" spans="1:8" ht="37.5" customHeight="1">
      <c r="A6" s="12" t="s">
        <v>18</v>
      </c>
      <c r="B6" s="12" t="s">
        <v>148</v>
      </c>
      <c r="C6" s="13" t="s">
        <v>22</v>
      </c>
      <c r="D6" s="14" t="s">
        <v>23</v>
      </c>
      <c r="E6" s="15" t="s">
        <v>24</v>
      </c>
      <c r="F6" s="12">
        <v>8</v>
      </c>
      <c r="G6" s="8" t="s">
        <v>19</v>
      </c>
      <c r="H6" s="14" t="s">
        <v>150</v>
      </c>
    </row>
    <row r="7" spans="1:8" ht="24" customHeight="1">
      <c r="A7" s="63" t="s">
        <v>151</v>
      </c>
      <c r="B7" s="65"/>
      <c r="C7" s="65"/>
      <c r="D7" s="65"/>
      <c r="E7" s="65"/>
      <c r="F7" s="65"/>
      <c r="G7" s="65"/>
      <c r="H7" s="65"/>
    </row>
    <row r="8" spans="1:8" ht="37.5" customHeight="1">
      <c r="A8" s="16" t="s">
        <v>30</v>
      </c>
      <c r="B8" s="16" t="s">
        <v>152</v>
      </c>
      <c r="C8" s="17" t="s">
        <v>26</v>
      </c>
      <c r="D8" s="18" t="s">
        <v>27</v>
      </c>
      <c r="E8" s="19" t="s">
        <v>32</v>
      </c>
      <c r="F8" s="16">
        <v>12</v>
      </c>
      <c r="G8" s="9" t="s">
        <v>153</v>
      </c>
      <c r="H8" s="18" t="s">
        <v>154</v>
      </c>
    </row>
    <row r="9" spans="1:8" ht="37.5" customHeight="1">
      <c r="A9" s="16" t="s">
        <v>30</v>
      </c>
      <c r="B9" s="16" t="s">
        <v>152</v>
      </c>
      <c r="C9" s="17" t="s">
        <v>33</v>
      </c>
      <c r="D9" s="18" t="s">
        <v>34</v>
      </c>
      <c r="E9" s="19" t="s">
        <v>32</v>
      </c>
      <c r="F9" s="16">
        <v>8</v>
      </c>
      <c r="G9" s="10" t="s">
        <v>60</v>
      </c>
      <c r="H9" s="18" t="s">
        <v>154</v>
      </c>
    </row>
    <row r="10" spans="1:8" ht="37.5" customHeight="1">
      <c r="A10" s="16" t="s">
        <v>30</v>
      </c>
      <c r="B10" s="16" t="s">
        <v>152</v>
      </c>
      <c r="C10" s="17" t="s">
        <v>37</v>
      </c>
      <c r="D10" s="18" t="s">
        <v>38</v>
      </c>
      <c r="E10" s="19" t="s">
        <v>32</v>
      </c>
      <c r="F10" s="16">
        <v>10</v>
      </c>
      <c r="G10" s="10" t="s">
        <v>60</v>
      </c>
      <c r="H10" s="18" t="s">
        <v>154</v>
      </c>
    </row>
    <row r="11" spans="1:8" ht="37.5" customHeight="1">
      <c r="A11" s="16" t="s">
        <v>30</v>
      </c>
      <c r="B11" s="16" t="s">
        <v>152</v>
      </c>
      <c r="C11" s="17" t="s">
        <v>41</v>
      </c>
      <c r="D11" s="18" t="s">
        <v>42</v>
      </c>
      <c r="E11" s="19" t="s">
        <v>32</v>
      </c>
      <c r="F11" s="16">
        <v>6</v>
      </c>
      <c r="G11" s="10" t="s">
        <v>60</v>
      </c>
      <c r="H11" s="18" t="s">
        <v>154</v>
      </c>
    </row>
    <row r="12" spans="1:8" ht="37.5" customHeight="1">
      <c r="A12" s="16" t="s">
        <v>30</v>
      </c>
      <c r="B12" s="16" t="s">
        <v>152</v>
      </c>
      <c r="C12" s="17" t="s">
        <v>44</v>
      </c>
      <c r="D12" s="18" t="s">
        <v>45</v>
      </c>
      <c r="E12" s="19" t="s">
        <v>32</v>
      </c>
      <c r="F12" s="16">
        <v>4</v>
      </c>
      <c r="G12" s="10" t="s">
        <v>60</v>
      </c>
      <c r="H12" s="18" t="s">
        <v>154</v>
      </c>
    </row>
    <row r="13" spans="1:8" ht="37.5" customHeight="1">
      <c r="A13" s="16" t="s">
        <v>30</v>
      </c>
      <c r="B13" s="16" t="s">
        <v>152</v>
      </c>
      <c r="C13" s="17" t="s">
        <v>48</v>
      </c>
      <c r="D13" s="18" t="s">
        <v>49</v>
      </c>
      <c r="E13" s="19" t="s">
        <v>51</v>
      </c>
      <c r="F13" s="16">
        <v>6</v>
      </c>
      <c r="G13" s="10" t="s">
        <v>60</v>
      </c>
      <c r="H13" s="18" t="s">
        <v>154</v>
      </c>
    </row>
    <row r="14" spans="1:8" ht="24" customHeight="1">
      <c r="A14" s="63" t="s">
        <v>155</v>
      </c>
      <c r="B14" s="65"/>
      <c r="C14" s="65"/>
      <c r="D14" s="65"/>
      <c r="E14" s="65"/>
      <c r="F14" s="65"/>
      <c r="G14" s="65"/>
      <c r="H14" s="65"/>
    </row>
    <row r="15" spans="1:8" ht="37.5" customHeight="1">
      <c r="A15" s="20" t="s">
        <v>55</v>
      </c>
      <c r="B15" s="20" t="s">
        <v>156</v>
      </c>
      <c r="C15" s="21" t="s">
        <v>52</v>
      </c>
      <c r="D15" s="22" t="s">
        <v>53</v>
      </c>
      <c r="E15" s="23" t="s">
        <v>32</v>
      </c>
      <c r="F15" s="20">
        <v>12</v>
      </c>
      <c r="G15" s="10" t="s">
        <v>60</v>
      </c>
      <c r="H15" s="22" t="s">
        <v>157</v>
      </c>
    </row>
    <row r="16" spans="1:8" ht="37.5" customHeight="1">
      <c r="A16" s="20" t="s">
        <v>55</v>
      </c>
      <c r="B16" s="20" t="s">
        <v>156</v>
      </c>
      <c r="C16" s="21" t="s">
        <v>58</v>
      </c>
      <c r="D16" s="22" t="s">
        <v>59</v>
      </c>
      <c r="E16" s="23" t="s">
        <v>32</v>
      </c>
      <c r="F16" s="20">
        <v>10</v>
      </c>
      <c r="G16" s="10" t="s">
        <v>60</v>
      </c>
      <c r="H16" s="22" t="s">
        <v>157</v>
      </c>
    </row>
    <row r="17" spans="1:8" ht="37.5" customHeight="1">
      <c r="A17" s="20" t="s">
        <v>55</v>
      </c>
      <c r="B17" s="20" t="s">
        <v>156</v>
      </c>
      <c r="C17" s="21" t="s">
        <v>62</v>
      </c>
      <c r="D17" s="22" t="s">
        <v>63</v>
      </c>
      <c r="E17" s="23" t="s">
        <v>51</v>
      </c>
      <c r="F17" s="20">
        <v>8</v>
      </c>
      <c r="G17" s="10" t="s">
        <v>60</v>
      </c>
      <c r="H17" s="22" t="s">
        <v>157</v>
      </c>
    </row>
    <row r="18" spans="1:8" ht="37.5" customHeight="1">
      <c r="A18" s="20" t="s">
        <v>55</v>
      </c>
      <c r="B18" s="20" t="s">
        <v>156</v>
      </c>
      <c r="C18" s="21" t="s">
        <v>65</v>
      </c>
      <c r="D18" s="22" t="s">
        <v>66</v>
      </c>
      <c r="E18" s="23" t="s">
        <v>32</v>
      </c>
      <c r="F18" s="20">
        <v>10</v>
      </c>
      <c r="G18" s="10" t="s">
        <v>60</v>
      </c>
      <c r="H18" s="22" t="s">
        <v>157</v>
      </c>
    </row>
    <row r="19" spans="1:8" ht="37.5" customHeight="1">
      <c r="A19" s="20" t="s">
        <v>55</v>
      </c>
      <c r="B19" s="20" t="s">
        <v>156</v>
      </c>
      <c r="C19" s="21" t="s">
        <v>69</v>
      </c>
      <c r="D19" s="22" t="s">
        <v>70</v>
      </c>
      <c r="E19" s="23" t="s">
        <v>32</v>
      </c>
      <c r="F19" s="20">
        <v>6</v>
      </c>
      <c r="G19" s="10" t="s">
        <v>60</v>
      </c>
      <c r="H19" s="22" t="s">
        <v>157</v>
      </c>
    </row>
    <row r="20" spans="1:8" ht="24" customHeight="1">
      <c r="A20" s="63" t="s">
        <v>158</v>
      </c>
      <c r="B20" s="65"/>
      <c r="C20" s="65"/>
      <c r="D20" s="65"/>
      <c r="E20" s="65"/>
      <c r="F20" s="65"/>
      <c r="G20" s="65"/>
      <c r="H20" s="65"/>
    </row>
    <row r="21" spans="1:8" ht="37.5" customHeight="1">
      <c r="A21" s="24" t="s">
        <v>76</v>
      </c>
      <c r="B21" s="24" t="s">
        <v>159</v>
      </c>
      <c r="C21" s="25" t="s">
        <v>72</v>
      </c>
      <c r="D21" s="26" t="s">
        <v>73</v>
      </c>
      <c r="E21" s="27" t="s">
        <v>51</v>
      </c>
      <c r="F21" s="24">
        <v>8</v>
      </c>
      <c r="G21" s="10" t="s">
        <v>60</v>
      </c>
      <c r="H21" s="26" t="s">
        <v>160</v>
      </c>
    </row>
    <row r="22" spans="1:8" ht="37.5" customHeight="1">
      <c r="A22" s="24" t="s">
        <v>76</v>
      </c>
      <c r="B22" s="24" t="s">
        <v>159</v>
      </c>
      <c r="C22" s="25" t="s">
        <v>78</v>
      </c>
      <c r="D22" s="26" t="s">
        <v>79</v>
      </c>
      <c r="E22" s="27" t="s">
        <v>51</v>
      </c>
      <c r="F22" s="24">
        <v>10</v>
      </c>
      <c r="G22" s="10" t="s">
        <v>60</v>
      </c>
      <c r="H22" s="26" t="s">
        <v>160</v>
      </c>
    </row>
    <row r="23" spans="1:8" ht="37.5" customHeight="1">
      <c r="A23" s="24" t="s">
        <v>76</v>
      </c>
      <c r="B23" s="24" t="s">
        <v>159</v>
      </c>
      <c r="C23" s="25" t="s">
        <v>81</v>
      </c>
      <c r="D23" s="26" t="s">
        <v>82</v>
      </c>
      <c r="E23" s="27" t="s">
        <v>32</v>
      </c>
      <c r="F23" s="24">
        <v>8</v>
      </c>
      <c r="G23" s="10" t="s">
        <v>60</v>
      </c>
      <c r="H23" s="26" t="s">
        <v>160</v>
      </c>
    </row>
    <row r="24" spans="1:8" ht="37.5" customHeight="1">
      <c r="A24" s="24" t="s">
        <v>76</v>
      </c>
      <c r="B24" s="24" t="s">
        <v>159</v>
      </c>
      <c r="C24" s="25" t="s">
        <v>84</v>
      </c>
      <c r="D24" s="26" t="s">
        <v>85</v>
      </c>
      <c r="E24" s="27" t="s">
        <v>51</v>
      </c>
      <c r="F24" s="24">
        <v>6</v>
      </c>
      <c r="G24" s="10" t="s">
        <v>60</v>
      </c>
      <c r="H24" s="26" t="s">
        <v>160</v>
      </c>
    </row>
    <row r="25" spans="1:8" ht="37.5" customHeight="1">
      <c r="A25" s="24" t="s">
        <v>76</v>
      </c>
      <c r="B25" s="24" t="s">
        <v>159</v>
      </c>
      <c r="C25" s="25" t="s">
        <v>87</v>
      </c>
      <c r="D25" s="26" t="s">
        <v>88</v>
      </c>
      <c r="E25" s="27" t="s">
        <v>51</v>
      </c>
      <c r="F25" s="24">
        <v>8</v>
      </c>
      <c r="G25" s="10" t="s">
        <v>60</v>
      </c>
      <c r="H25" s="26" t="s">
        <v>160</v>
      </c>
    </row>
    <row r="26" spans="1:8" ht="37.5" customHeight="1">
      <c r="A26" s="24" t="s">
        <v>76</v>
      </c>
      <c r="B26" s="24" t="s">
        <v>159</v>
      </c>
      <c r="C26" s="25" t="s">
        <v>91</v>
      </c>
      <c r="D26" s="26" t="s">
        <v>92</v>
      </c>
      <c r="E26" s="27" t="s">
        <v>32</v>
      </c>
      <c r="F26" s="24">
        <v>12</v>
      </c>
      <c r="G26" s="10" t="s">
        <v>60</v>
      </c>
      <c r="H26" s="26" t="s">
        <v>160</v>
      </c>
    </row>
    <row r="27" spans="1:8" ht="37.5" customHeight="1">
      <c r="A27" s="24" t="s">
        <v>76</v>
      </c>
      <c r="B27" s="24" t="s">
        <v>159</v>
      </c>
      <c r="C27" s="25" t="s">
        <v>94</v>
      </c>
      <c r="D27" s="26" t="s">
        <v>95</v>
      </c>
      <c r="E27" s="27" t="s">
        <v>51</v>
      </c>
      <c r="F27" s="24">
        <v>6</v>
      </c>
      <c r="G27" s="10" t="s">
        <v>60</v>
      </c>
      <c r="H27" s="26" t="s">
        <v>160</v>
      </c>
    </row>
    <row r="28" spans="1:8" ht="24" customHeight="1">
      <c r="A28" s="63" t="s">
        <v>161</v>
      </c>
      <c r="B28" s="65"/>
      <c r="C28" s="65"/>
      <c r="D28" s="65"/>
      <c r="E28" s="65"/>
      <c r="F28" s="65"/>
      <c r="G28" s="65"/>
      <c r="H28" s="65"/>
    </row>
    <row r="29" spans="1:8" ht="37.5" customHeight="1">
      <c r="A29" s="28" t="s">
        <v>100</v>
      </c>
      <c r="B29" s="28" t="s">
        <v>162</v>
      </c>
      <c r="C29" s="29" t="s">
        <v>97</v>
      </c>
      <c r="D29" s="30" t="s">
        <v>98</v>
      </c>
      <c r="E29" s="31" t="s">
        <v>32</v>
      </c>
      <c r="F29" s="28">
        <v>12</v>
      </c>
      <c r="G29" s="10" t="s">
        <v>60</v>
      </c>
      <c r="H29" s="30" t="s">
        <v>163</v>
      </c>
    </row>
    <row r="30" spans="1:8" ht="37.5" customHeight="1">
      <c r="A30" s="28" t="s">
        <v>100</v>
      </c>
      <c r="B30" s="28" t="s">
        <v>162</v>
      </c>
      <c r="C30" s="29" t="s">
        <v>102</v>
      </c>
      <c r="D30" s="30" t="s">
        <v>103</v>
      </c>
      <c r="E30" s="31" t="s">
        <v>51</v>
      </c>
      <c r="F30" s="28">
        <v>10</v>
      </c>
      <c r="G30" s="10" t="s">
        <v>60</v>
      </c>
      <c r="H30" s="30" t="s">
        <v>163</v>
      </c>
    </row>
    <row r="31" spans="1:8" ht="37.5" customHeight="1">
      <c r="A31" s="28" t="s">
        <v>100</v>
      </c>
      <c r="B31" s="28" t="s">
        <v>162</v>
      </c>
      <c r="C31" s="29" t="s">
        <v>105</v>
      </c>
      <c r="D31" s="30" t="s">
        <v>106</v>
      </c>
      <c r="E31" s="31" t="s">
        <v>32</v>
      </c>
      <c r="F31" s="28">
        <v>10</v>
      </c>
      <c r="G31" s="10" t="s">
        <v>60</v>
      </c>
      <c r="H31" s="30" t="s">
        <v>163</v>
      </c>
    </row>
    <row r="32" spans="1:8" ht="37.5" customHeight="1">
      <c r="A32" s="28" t="s">
        <v>100</v>
      </c>
      <c r="B32" s="28" t="s">
        <v>162</v>
      </c>
      <c r="C32" s="29" t="s">
        <v>110</v>
      </c>
      <c r="D32" s="30" t="s">
        <v>111</v>
      </c>
      <c r="E32" s="31" t="s">
        <v>51</v>
      </c>
      <c r="F32" s="28">
        <v>8</v>
      </c>
      <c r="G32" s="10" t="s">
        <v>60</v>
      </c>
      <c r="H32" s="30" t="s">
        <v>163</v>
      </c>
    </row>
    <row r="33" spans="1:8" ht="37.5" customHeight="1">
      <c r="A33" s="28" t="s">
        <v>100</v>
      </c>
      <c r="B33" s="28" t="s">
        <v>162</v>
      </c>
      <c r="C33" s="29" t="s">
        <v>113</v>
      </c>
      <c r="D33" s="30" t="s">
        <v>114</v>
      </c>
      <c r="E33" s="31" t="s">
        <v>32</v>
      </c>
      <c r="F33" s="28">
        <v>8</v>
      </c>
      <c r="G33" s="10" t="s">
        <v>60</v>
      </c>
      <c r="H33" s="30" t="s">
        <v>163</v>
      </c>
    </row>
    <row r="34" spans="1:8" ht="24" customHeight="1">
      <c r="A34" s="63" t="s">
        <v>164</v>
      </c>
      <c r="B34" s="65"/>
      <c r="C34" s="65"/>
      <c r="D34" s="65"/>
      <c r="E34" s="65"/>
      <c r="F34" s="65"/>
      <c r="G34" s="65"/>
      <c r="H34" s="65"/>
    </row>
    <row r="35" spans="1:8" ht="37.5" customHeight="1">
      <c r="A35" s="32" t="s">
        <v>120</v>
      </c>
      <c r="B35" s="32" t="s">
        <v>165</v>
      </c>
      <c r="C35" s="33" t="s">
        <v>116</v>
      </c>
      <c r="D35" s="34" t="s">
        <v>117</v>
      </c>
      <c r="E35" s="35" t="s">
        <v>119</v>
      </c>
      <c r="F35" s="32">
        <v>16</v>
      </c>
      <c r="G35" s="10" t="s">
        <v>60</v>
      </c>
      <c r="H35" s="34" t="s">
        <v>166</v>
      </c>
    </row>
    <row r="36" spans="1:8" ht="37.5" customHeight="1">
      <c r="A36" s="32" t="s">
        <v>120</v>
      </c>
      <c r="B36" s="32" t="s">
        <v>165</v>
      </c>
      <c r="C36" s="33" t="s">
        <v>122</v>
      </c>
      <c r="D36" s="34" t="s">
        <v>123</v>
      </c>
      <c r="E36" s="35" t="s">
        <v>119</v>
      </c>
      <c r="F36" s="32">
        <v>12</v>
      </c>
      <c r="G36" s="10" t="s">
        <v>60</v>
      </c>
      <c r="H36" s="34" t="s">
        <v>166</v>
      </c>
    </row>
    <row r="37" spans="1:8" ht="37.5" customHeight="1">
      <c r="A37" s="32" t="s">
        <v>120</v>
      </c>
      <c r="B37" s="32" t="s">
        <v>165</v>
      </c>
      <c r="C37" s="33" t="s">
        <v>125</v>
      </c>
      <c r="D37" s="34" t="s">
        <v>126</v>
      </c>
      <c r="E37" s="35" t="s">
        <v>119</v>
      </c>
      <c r="F37" s="32">
        <v>10</v>
      </c>
      <c r="G37" s="10" t="s">
        <v>60</v>
      </c>
      <c r="H37" s="34" t="s">
        <v>166</v>
      </c>
    </row>
    <row r="38" spans="1:8" ht="24" customHeight="1">
      <c r="A38" s="63" t="s">
        <v>167</v>
      </c>
      <c r="B38" s="65"/>
      <c r="C38" s="65"/>
      <c r="D38" s="65"/>
      <c r="E38" s="65"/>
      <c r="F38" s="65"/>
      <c r="G38" s="65"/>
      <c r="H38" s="65"/>
    </row>
    <row r="39" spans="1:8" ht="37.5" customHeight="1">
      <c r="A39" s="36" t="s">
        <v>132</v>
      </c>
      <c r="B39" s="36" t="s">
        <v>168</v>
      </c>
      <c r="C39" s="37" t="s">
        <v>128</v>
      </c>
      <c r="D39" s="38" t="s">
        <v>129</v>
      </c>
      <c r="E39" s="39" t="s">
        <v>21</v>
      </c>
      <c r="F39" s="36">
        <v>12</v>
      </c>
      <c r="G39" s="10" t="s">
        <v>60</v>
      </c>
      <c r="H39" s="38" t="s">
        <v>169</v>
      </c>
    </row>
    <row r="40" spans="1:8" ht="37.5" customHeight="1">
      <c r="A40" s="36" t="s">
        <v>132</v>
      </c>
      <c r="B40" s="36" t="s">
        <v>168</v>
      </c>
      <c r="C40" s="37" t="s">
        <v>134</v>
      </c>
      <c r="D40" s="38" t="s">
        <v>135</v>
      </c>
      <c r="E40" s="39" t="s">
        <v>138</v>
      </c>
      <c r="F40" s="36">
        <v>8</v>
      </c>
      <c r="G40" s="10" t="s">
        <v>60</v>
      </c>
      <c r="H40" s="38" t="s">
        <v>169</v>
      </c>
    </row>
  </sheetData>
  <mergeCells count="9">
    <mergeCell ref="A38:H38"/>
    <mergeCell ref="A2:H2"/>
    <mergeCell ref="A28:H28"/>
    <mergeCell ref="A14:H14"/>
    <mergeCell ref="A1:H1"/>
    <mergeCell ref="A34:H34"/>
    <mergeCell ref="A4:H4"/>
    <mergeCell ref="A7:H7"/>
    <mergeCell ref="A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showGridLines="0" zoomScaleNormal="100" workbookViewId="0"/>
  </sheetViews>
  <sheetFormatPr defaultColWidth="8.7109375" defaultRowHeight="15"/>
  <cols>
    <col min="1" max="1" width="14" customWidth="1"/>
    <col min="2" max="2" width="24" customWidth="1"/>
    <col min="3" max="3" width="8" customWidth="1"/>
    <col min="4" max="4" width="12" customWidth="1"/>
    <col min="5" max="5" width="38" customWidth="1"/>
    <col min="6" max="6" width="14" customWidth="1"/>
    <col min="7" max="7" width="46" customWidth="1"/>
  </cols>
  <sheetData>
    <row r="1" spans="1:7" ht="31.5" customHeight="1">
      <c r="A1" s="62" t="s">
        <v>170</v>
      </c>
      <c r="B1" s="65"/>
      <c r="C1" s="65"/>
      <c r="D1" s="65"/>
      <c r="E1" s="65"/>
      <c r="F1" s="65"/>
      <c r="G1" s="65"/>
    </row>
    <row r="2" spans="1:7" ht="19.5" customHeight="1">
      <c r="A2" s="60" t="s">
        <v>171</v>
      </c>
      <c r="B2" s="65"/>
      <c r="C2" s="65"/>
      <c r="D2" s="65"/>
      <c r="E2" s="65"/>
      <c r="F2" s="65"/>
      <c r="G2" s="65"/>
    </row>
    <row r="3" spans="1:7" ht="27.75" customHeight="1">
      <c r="A3" s="40" t="s">
        <v>142</v>
      </c>
      <c r="B3" s="40" t="s">
        <v>143</v>
      </c>
      <c r="C3" s="40" t="s">
        <v>172</v>
      </c>
      <c r="D3" s="40" t="s">
        <v>173</v>
      </c>
      <c r="E3" s="40" t="s">
        <v>174</v>
      </c>
      <c r="F3" s="40" t="s">
        <v>9</v>
      </c>
      <c r="G3" s="40" t="s">
        <v>146</v>
      </c>
    </row>
    <row r="4" spans="1:7" ht="43.5" customHeight="1">
      <c r="A4" s="41" t="s">
        <v>18</v>
      </c>
      <c r="B4" s="42" t="s">
        <v>148</v>
      </c>
      <c r="C4" s="42">
        <v>2</v>
      </c>
      <c r="D4" s="42">
        <v>24</v>
      </c>
      <c r="E4" s="43" t="s">
        <v>175</v>
      </c>
      <c r="F4" s="44" t="s">
        <v>19</v>
      </c>
      <c r="G4" s="43" t="s">
        <v>176</v>
      </c>
    </row>
    <row r="5" spans="1:7" ht="43.5" customHeight="1">
      <c r="A5" s="41" t="s">
        <v>30</v>
      </c>
      <c r="B5" s="45" t="s">
        <v>152</v>
      </c>
      <c r="C5" s="45">
        <v>6</v>
      </c>
      <c r="D5" s="45">
        <v>46</v>
      </c>
      <c r="E5" s="46" t="s">
        <v>177</v>
      </c>
      <c r="F5" s="47" t="s">
        <v>153</v>
      </c>
      <c r="G5" s="46" t="s">
        <v>178</v>
      </c>
    </row>
    <row r="6" spans="1:7" ht="43.5" customHeight="1">
      <c r="A6" s="41" t="s">
        <v>55</v>
      </c>
      <c r="B6" s="48" t="s">
        <v>156</v>
      </c>
      <c r="C6" s="48">
        <v>5</v>
      </c>
      <c r="D6" s="48">
        <v>46</v>
      </c>
      <c r="E6" s="49" t="s">
        <v>54</v>
      </c>
      <c r="F6" s="50" t="s">
        <v>60</v>
      </c>
      <c r="G6" s="49" t="s">
        <v>179</v>
      </c>
    </row>
    <row r="7" spans="1:7" ht="43.5" customHeight="1">
      <c r="A7" s="41" t="s">
        <v>76</v>
      </c>
      <c r="B7" s="51" t="s">
        <v>159</v>
      </c>
      <c r="C7" s="51">
        <v>7</v>
      </c>
      <c r="D7" s="51">
        <v>58</v>
      </c>
      <c r="E7" s="52" t="s">
        <v>180</v>
      </c>
      <c r="F7" s="50" t="s">
        <v>60</v>
      </c>
      <c r="G7" s="52" t="s">
        <v>181</v>
      </c>
    </row>
    <row r="8" spans="1:7" ht="43.5" customHeight="1">
      <c r="A8" s="41" t="s">
        <v>100</v>
      </c>
      <c r="B8" s="53" t="s">
        <v>162</v>
      </c>
      <c r="C8" s="53">
        <v>5</v>
      </c>
      <c r="D8" s="53">
        <v>48</v>
      </c>
      <c r="E8" s="54" t="s">
        <v>182</v>
      </c>
      <c r="F8" s="50" t="s">
        <v>60</v>
      </c>
      <c r="G8" s="54" t="s">
        <v>183</v>
      </c>
    </row>
    <row r="9" spans="1:7" ht="43.5" customHeight="1">
      <c r="A9" s="41" t="s">
        <v>120</v>
      </c>
      <c r="B9" s="55" t="s">
        <v>165</v>
      </c>
      <c r="C9" s="55">
        <v>3</v>
      </c>
      <c r="D9" s="55">
        <v>38</v>
      </c>
      <c r="E9" s="56" t="s">
        <v>184</v>
      </c>
      <c r="F9" s="50" t="s">
        <v>60</v>
      </c>
      <c r="G9" s="56" t="s">
        <v>185</v>
      </c>
    </row>
    <row r="10" spans="1:7" ht="43.5" customHeight="1">
      <c r="A10" s="41" t="s">
        <v>132</v>
      </c>
      <c r="B10" s="57" t="s">
        <v>168</v>
      </c>
      <c r="C10" s="57">
        <v>2</v>
      </c>
      <c r="D10" s="57">
        <v>20</v>
      </c>
      <c r="E10" s="58" t="s">
        <v>186</v>
      </c>
      <c r="F10" s="50" t="s">
        <v>60</v>
      </c>
      <c r="G10" s="58" t="s">
        <v>187</v>
      </c>
    </row>
    <row r="11" spans="1:7" ht="27.75" customHeight="1">
      <c r="A11" s="64" t="s">
        <v>188</v>
      </c>
      <c r="B11" s="65"/>
      <c r="C11" s="11">
        <f>SUM(C4:C10)</f>
        <v>30</v>
      </c>
      <c r="D11" s="11">
        <f>SUM(D4:D10)</f>
        <v>280</v>
      </c>
      <c r="E11" s="59"/>
      <c r="F11" s="59"/>
      <c r="G11" s="59"/>
    </row>
  </sheetData>
  <mergeCells count="3">
    <mergeCell ref="A2:G2"/>
    <mergeCell ref="A11:B11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2026-03-11T01:33:26Z</dcterms:created>
  <dcterms:modified xsi:type="dcterms:W3CDTF">2026-04-16T16:41:39Z</dcterms:modified>
  <cp:category/>
  <cp:contentStatus/>
</cp:coreProperties>
</file>